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JGradle\ClusterMandelbrot\src\main\groovy\results\"/>
    </mc:Choice>
  </mc:AlternateContent>
  <xr:revisionPtr revIDLastSave="0" documentId="13_ncr:1_{5D26726D-1F8B-48DC-A08B-41930244B729}" xr6:coauthVersionLast="47" xr6:coauthVersionMax="47" xr10:uidLastSave="{00000000-0000-0000-0000-000000000000}"/>
  <bookViews>
    <workbookView xWindow="520" yWindow="150" windowWidth="18150" windowHeight="10300" activeTab="1" xr2:uid="{10B302D6-0516-4BED-BBD1-735A1552ADCC}"/>
  </bookViews>
  <sheets>
    <sheet name="Table1" sheetId="1" r:id="rId1"/>
    <sheet name="Table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E5" i="2" s="1"/>
  <c r="D6" i="2"/>
  <c r="E6" i="2" s="1"/>
  <c r="D7" i="2"/>
  <c r="E7" i="2" s="1"/>
  <c r="D4" i="2"/>
  <c r="E4" i="2" s="1"/>
  <c r="J9" i="2"/>
  <c r="K9" i="2" s="1"/>
  <c r="J8" i="2"/>
  <c r="K8" i="2" s="1"/>
  <c r="J7" i="2"/>
  <c r="K7" i="2" s="1"/>
  <c r="J6" i="2"/>
  <c r="K6" i="2" s="1"/>
  <c r="J5" i="2"/>
  <c r="K5" i="2" s="1"/>
  <c r="G5" i="2"/>
  <c r="H5" i="2" s="1"/>
  <c r="G6" i="2"/>
  <c r="H6" i="2" s="1"/>
  <c r="G7" i="2"/>
  <c r="H7" i="2" s="1"/>
  <c r="G8" i="2"/>
  <c r="H8" i="2" s="1"/>
  <c r="G9" i="2"/>
  <c r="H9" i="2" s="1"/>
  <c r="G4" i="2"/>
  <c r="H4" i="2" s="1"/>
  <c r="J5" i="1"/>
  <c r="J6" i="1"/>
  <c r="J7" i="1"/>
  <c r="J4" i="1"/>
  <c r="E5" i="1"/>
  <c r="E6" i="1"/>
  <c r="E7" i="1"/>
  <c r="E8" i="1"/>
  <c r="E9" i="1"/>
  <c r="E4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<sst xmlns="http://schemas.openxmlformats.org/spreadsheetml/2006/main" count="22" uniqueCount="11">
  <si>
    <t>XPC</t>
  </si>
  <si>
    <t>Time(ms)</t>
  </si>
  <si>
    <t>Speedup</t>
  </si>
  <si>
    <t>seq</t>
  </si>
  <si>
    <t>Nodes</t>
  </si>
  <si>
    <t>Workers</t>
  </si>
  <si>
    <t>Cluster</t>
  </si>
  <si>
    <t>Times(ms)</t>
  </si>
  <si>
    <t>Multi-node</t>
  </si>
  <si>
    <t>Single Node</t>
  </si>
  <si>
    <t>Two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</si>
</sst>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JGradle\ClusterMandelbrot\src\main\groovy\results\CollatedResults.xlsx" TargetMode="External"/><Relationship Id="rId1" Type="http://schemas.openxmlformats.org/officeDocument/2006/relationships/externalLinkPath" Target="Collated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pcTimes"/>
      <sheetName val="Two nodes n workers 2048 V2"/>
      <sheetName val="mandelbrotHPC"/>
      <sheetName val="SingleNodeHPC"/>
      <sheetName val="HPCsingleNode"/>
      <sheetName val="HPC-multi-node"/>
      <sheetName val="2048 Comparison"/>
      <sheetName val="ClusterData"/>
      <sheetName val="HPCseq2048"/>
      <sheetName val="HPC2nodes"/>
    </sheetNames>
    <sheetDataSet>
      <sheetData sheetId="0">
        <row r="20">
          <cell r="K20">
            <v>52365.8</v>
          </cell>
        </row>
        <row r="40">
          <cell r="K40">
            <v>29176.799999999999</v>
          </cell>
        </row>
        <row r="60">
          <cell r="K60">
            <v>27831.599999999999</v>
          </cell>
        </row>
        <row r="80">
          <cell r="K80">
            <v>25328.2</v>
          </cell>
        </row>
        <row r="100">
          <cell r="K100">
            <v>25453.599999999999</v>
          </cell>
        </row>
        <row r="120">
          <cell r="K120">
            <v>25737.4</v>
          </cell>
        </row>
      </sheetData>
      <sheetData sheetId="1">
        <row r="25">
          <cell r="K25">
            <v>13227.6</v>
          </cell>
        </row>
        <row r="50">
          <cell r="K50">
            <v>11650</v>
          </cell>
        </row>
        <row r="75">
          <cell r="K75">
            <v>30097.4</v>
          </cell>
        </row>
        <row r="100">
          <cell r="K100">
            <v>20206</v>
          </cell>
        </row>
        <row r="125">
          <cell r="K125">
            <v>15838</v>
          </cell>
        </row>
      </sheetData>
      <sheetData sheetId="2" refreshError="1"/>
      <sheetData sheetId="3" refreshError="1"/>
      <sheetData sheetId="4">
        <row r="18">
          <cell r="C18">
            <v>55548</v>
          </cell>
        </row>
        <row r="19">
          <cell r="C19">
            <v>29343</v>
          </cell>
        </row>
        <row r="20">
          <cell r="C20">
            <v>20812.8</v>
          </cell>
        </row>
        <row r="21">
          <cell r="C21">
            <v>15500.4</v>
          </cell>
        </row>
        <row r="22">
          <cell r="C22">
            <v>13214.2</v>
          </cell>
        </row>
        <row r="23">
          <cell r="C23">
            <v>12442.8</v>
          </cell>
        </row>
      </sheetData>
      <sheetData sheetId="5">
        <row r="13">
          <cell r="E13">
            <v>55548</v>
          </cell>
        </row>
        <row r="14">
          <cell r="E14">
            <v>29759.4</v>
          </cell>
        </row>
        <row r="15">
          <cell r="E15">
            <v>21267.200000000001</v>
          </cell>
        </row>
        <row r="16">
          <cell r="E16">
            <v>16954.8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990D-5FCE-4DD5-835C-D68A705618F0}">
  <dimension ref="C1:J9"/>
  <sheetViews>
    <sheetView workbookViewId="0">
      <selection activeCell="C2" sqref="C2:J9"/>
    </sheetView>
  </sheetViews>
  <sheetFormatPr defaultRowHeight="13" x14ac:dyDescent="0.3"/>
  <cols>
    <col min="3" max="5" width="8.796875" style="1"/>
    <col min="6" max="6" width="1.59765625" customWidth="1"/>
    <col min="7" max="10" width="8.796875" style="1"/>
  </cols>
  <sheetData>
    <row r="1" spans="3:10" x14ac:dyDescent="0.3">
      <c r="D1" s="1" t="s">
        <v>0</v>
      </c>
      <c r="I1" s="1" t="s">
        <v>6</v>
      </c>
    </row>
    <row r="2" spans="3:10" x14ac:dyDescent="0.3">
      <c r="C2" s="1" t="s">
        <v>5</v>
      </c>
      <c r="D2" s="1" t="s">
        <v>1</v>
      </c>
      <c r="E2" s="1" t="s">
        <v>2</v>
      </c>
      <c r="G2" s="1" t="s">
        <v>4</v>
      </c>
      <c r="H2" s="1" t="s">
        <v>5</v>
      </c>
      <c r="I2" s="1" t="s">
        <v>1</v>
      </c>
      <c r="J2" s="1" t="s">
        <v>2</v>
      </c>
    </row>
    <row r="3" spans="3:10" x14ac:dyDescent="0.3">
      <c r="C3" s="1" t="s">
        <v>3</v>
      </c>
      <c r="D3" s="1">
        <v>205312</v>
      </c>
      <c r="H3" s="1" t="s">
        <v>3</v>
      </c>
      <c r="I3" s="3">
        <v>204050</v>
      </c>
    </row>
    <row r="4" spans="3:10" x14ac:dyDescent="0.3">
      <c r="C4" s="1">
        <v>4</v>
      </c>
      <c r="D4" s="3">
        <f>[1]xpcTimes!$K$20</f>
        <v>52365.8</v>
      </c>
      <c r="E4" s="2">
        <f>$D$3/D4</f>
        <v>3.9207268866321145</v>
      </c>
      <c r="G4" s="1">
        <v>1</v>
      </c>
      <c r="H4" s="1">
        <v>4</v>
      </c>
      <c r="I4" s="3">
        <v>57053</v>
      </c>
      <c r="J4" s="2">
        <f>$I$3/I4</f>
        <v>3.576499044747866</v>
      </c>
    </row>
    <row r="5" spans="3:10" x14ac:dyDescent="0.3">
      <c r="C5" s="1">
        <v>8</v>
      </c>
      <c r="D5" s="3">
        <f>[1]xpcTimes!$K$40</f>
        <v>29176.799999999999</v>
      </c>
      <c r="E5" s="2">
        <f t="shared" ref="E5:E9" si="0">$D$3/D5</f>
        <v>7.0368237777960569</v>
      </c>
      <c r="G5" s="1">
        <v>2</v>
      </c>
      <c r="H5" s="1">
        <v>8</v>
      </c>
      <c r="I5" s="3">
        <v>31276</v>
      </c>
      <c r="J5" s="2">
        <f t="shared" ref="J5:J7" si="1">$I$3/I5</f>
        <v>6.524171888988362</v>
      </c>
    </row>
    <row r="6" spans="3:10" x14ac:dyDescent="0.3">
      <c r="C6" s="1">
        <v>12</v>
      </c>
      <c r="D6" s="3">
        <f>[1]xpcTimes!$K$60</f>
        <v>27831.599999999999</v>
      </c>
      <c r="E6" s="2">
        <f t="shared" si="0"/>
        <v>7.3769384440707686</v>
      </c>
      <c r="G6" s="1">
        <v>3</v>
      </c>
      <c r="H6" s="1">
        <v>12</v>
      </c>
      <c r="I6" s="3">
        <v>21528.6</v>
      </c>
      <c r="J6" s="2">
        <f t="shared" si="1"/>
        <v>9.4780896110290502</v>
      </c>
    </row>
    <row r="7" spans="3:10" x14ac:dyDescent="0.3">
      <c r="C7" s="1">
        <v>16</v>
      </c>
      <c r="D7" s="3">
        <f>[1]xpcTimes!$K$80</f>
        <v>25328.2</v>
      </c>
      <c r="E7" s="2">
        <f t="shared" si="0"/>
        <v>8.1060635970973056</v>
      </c>
      <c r="G7" s="1">
        <v>4</v>
      </c>
      <c r="H7" s="1">
        <v>16</v>
      </c>
      <c r="I7" s="3">
        <v>17949</v>
      </c>
      <c r="J7" s="2">
        <f t="shared" si="1"/>
        <v>11.368321354950137</v>
      </c>
    </row>
    <row r="8" spans="3:10" x14ac:dyDescent="0.3">
      <c r="C8" s="1">
        <v>20</v>
      </c>
      <c r="D8" s="3">
        <f>[1]xpcTimes!$K$100</f>
        <v>25453.599999999999</v>
      </c>
      <c r="E8" s="2">
        <f t="shared" si="0"/>
        <v>8.0661281704749044</v>
      </c>
    </row>
    <row r="9" spans="3:10" x14ac:dyDescent="0.3">
      <c r="C9" s="1">
        <v>24</v>
      </c>
      <c r="D9" s="3">
        <f>[1]xpcTimes!$K$120</f>
        <v>25737.4</v>
      </c>
      <c r="E9" s="2">
        <f t="shared" si="0"/>
        <v>7.9771849526370184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7A7E-BBDB-4266-8173-45E04E933A4B}">
  <dimension ref="C1:K9"/>
  <sheetViews>
    <sheetView tabSelected="1" workbookViewId="0">
      <selection activeCell="C1" sqref="C1:K9"/>
    </sheetView>
  </sheetViews>
  <sheetFormatPr defaultRowHeight="13" x14ac:dyDescent="0.3"/>
  <cols>
    <col min="3" max="5" width="8.796875" style="1"/>
    <col min="6" max="6" width="3.09765625" style="1" customWidth="1"/>
    <col min="7" max="8" width="8.796875" style="1"/>
    <col min="9" max="9" width="2.3984375" style="1" customWidth="1"/>
    <col min="10" max="11" width="8.796875" style="1"/>
  </cols>
  <sheetData>
    <row r="1" spans="3:11" x14ac:dyDescent="0.3">
      <c r="D1" s="1" t="s">
        <v>8</v>
      </c>
      <c r="G1" s="1" t="s">
        <v>9</v>
      </c>
      <c r="J1" s="1" t="s">
        <v>10</v>
      </c>
    </row>
    <row r="2" spans="3:11" x14ac:dyDescent="0.3">
      <c r="C2" s="1" t="s">
        <v>5</v>
      </c>
      <c r="D2" s="1" t="s">
        <v>7</v>
      </c>
      <c r="E2" s="1" t="s">
        <v>2</v>
      </c>
      <c r="G2" s="1" t="s">
        <v>7</v>
      </c>
      <c r="H2" s="1" t="s">
        <v>2</v>
      </c>
      <c r="J2" s="1" t="s">
        <v>7</v>
      </c>
      <c r="K2" s="1" t="s">
        <v>2</v>
      </c>
    </row>
    <row r="3" spans="3:11" x14ac:dyDescent="0.3">
      <c r="C3" s="1" t="s">
        <v>3</v>
      </c>
      <c r="D3" s="1">
        <v>216672</v>
      </c>
    </row>
    <row r="4" spans="3:11" x14ac:dyDescent="0.3">
      <c r="C4" s="1">
        <v>4</v>
      </c>
      <c r="D4" s="3">
        <f>'[1]HPC-multi-node'!E13</f>
        <v>55548</v>
      </c>
      <c r="E4" s="2">
        <f>$D$3/D4</f>
        <v>3.9006264852019874</v>
      </c>
      <c r="F4" s="2"/>
      <c r="G4" s="3">
        <f>[1]HPCsingleNode!C18</f>
        <v>55548</v>
      </c>
      <c r="H4" s="2">
        <f>$D$3/G4</f>
        <v>3.9006264852019874</v>
      </c>
      <c r="I4" s="2"/>
    </row>
    <row r="5" spans="3:11" x14ac:dyDescent="0.3">
      <c r="C5" s="1">
        <v>8</v>
      </c>
      <c r="D5" s="3">
        <f>'[1]HPC-multi-node'!E14</f>
        <v>29759.4</v>
      </c>
      <c r="E5" s="2">
        <f t="shared" ref="E5:E7" si="0">$D$3/D5</f>
        <v>7.2807919514506336</v>
      </c>
      <c r="F5" s="2"/>
      <c r="G5" s="3">
        <f>[1]HPCsingleNode!C19</f>
        <v>29343</v>
      </c>
      <c r="H5" s="2">
        <f t="shared" ref="H5:H9" si="1">$D$3/G5</f>
        <v>7.3841120539822107</v>
      </c>
      <c r="I5" s="2"/>
      <c r="J5" s="3">
        <f>'[1]Two nodes n workers 2048 V2'!$K$75</f>
        <v>30097.4</v>
      </c>
      <c r="K5" s="2">
        <f>$D$3/J5</f>
        <v>7.1990271584920951</v>
      </c>
    </row>
    <row r="6" spans="3:11" x14ac:dyDescent="0.3">
      <c r="C6" s="1">
        <v>12</v>
      </c>
      <c r="D6" s="3">
        <f>'[1]HPC-multi-node'!E15</f>
        <v>21267.200000000001</v>
      </c>
      <c r="E6" s="2">
        <f t="shared" si="0"/>
        <v>10.188083057478183</v>
      </c>
      <c r="F6" s="2"/>
      <c r="G6" s="3">
        <f>[1]HPCsingleNode!C20</f>
        <v>20812.8</v>
      </c>
      <c r="H6" s="2">
        <f t="shared" si="1"/>
        <v>10.410516605166052</v>
      </c>
      <c r="I6" s="2"/>
      <c r="J6" s="3">
        <f>'[1]Two nodes n workers 2048 V2'!$K$100</f>
        <v>20206</v>
      </c>
      <c r="K6" s="2">
        <f t="shared" ref="K6:K9" si="2">$D$3/J6</f>
        <v>10.723151539146787</v>
      </c>
    </row>
    <row r="7" spans="3:11" x14ac:dyDescent="0.3">
      <c r="C7" s="1">
        <v>16</v>
      </c>
      <c r="D7" s="4">
        <f>'[1]HPC-multi-node'!E16</f>
        <v>16954.8</v>
      </c>
      <c r="E7" s="2">
        <f t="shared" si="0"/>
        <v>12.779389907282894</v>
      </c>
      <c r="F7" s="2"/>
      <c r="G7" s="4">
        <f>[1]HPCsingleNode!C21</f>
        <v>15500.4</v>
      </c>
      <c r="H7" s="2">
        <f t="shared" si="1"/>
        <v>13.978477974761942</v>
      </c>
      <c r="I7" s="2"/>
      <c r="J7" s="3">
        <f>'[1]Two nodes n workers 2048 V2'!$K$125</f>
        <v>15838</v>
      </c>
      <c r="K7" s="2">
        <f t="shared" si="2"/>
        <v>13.680515216567748</v>
      </c>
    </row>
    <row r="8" spans="3:11" x14ac:dyDescent="0.3">
      <c r="C8" s="1">
        <v>20</v>
      </c>
      <c r="D8" s="3"/>
      <c r="G8" s="3">
        <f>[1]HPCsingleNode!C22</f>
        <v>13214.2</v>
      </c>
      <c r="H8" s="2">
        <f t="shared" si="1"/>
        <v>16.396906358311512</v>
      </c>
      <c r="I8" s="2"/>
      <c r="J8" s="3">
        <f>'[1]Two nodes n workers 2048 V2'!$K$25</f>
        <v>13227.6</v>
      </c>
      <c r="K8" s="2">
        <f t="shared" si="2"/>
        <v>16.380295745259911</v>
      </c>
    </row>
    <row r="9" spans="3:11" x14ac:dyDescent="0.3">
      <c r="C9" s="1">
        <v>24</v>
      </c>
      <c r="D9" s="3"/>
      <c r="G9" s="3">
        <f>[1]HPCsingleNode!C23</f>
        <v>12442.8</v>
      </c>
      <c r="H9" s="2">
        <f t="shared" si="1"/>
        <v>17.413443919375062</v>
      </c>
      <c r="I9" s="2"/>
      <c r="J9" s="4">
        <f>'[1]Two nodes n workers 2048 V2'!$K$50</f>
        <v>11650</v>
      </c>
      <c r="K9" s="2">
        <f t="shared" si="2"/>
        <v>18.598454935622318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Kerridge, Jon</dc:creator>
  <cp:lastModifiedBy>Kerridge, Jon</cp:lastModifiedBy>
  <dcterms:created xsi:type="dcterms:W3CDTF">2026-01-28T16:16:25Z</dcterms:created>
  <dcterms:modified xsi:type="dcterms:W3CDTF">2026-01-29T15:51:04Z</dcterms:modified>
</cp:coreProperties>
</file>